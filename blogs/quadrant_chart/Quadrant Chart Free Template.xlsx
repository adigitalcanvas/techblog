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Own\Launch Web\Github Prod\blogs\quadrant_chart\"/>
    </mc:Choice>
  </mc:AlternateContent>
  <xr:revisionPtr revIDLastSave="0" documentId="13_ncr:1_{403B8FB0-80D0-4A5D-ACD8-3529B9952329}" xr6:coauthVersionLast="47" xr6:coauthVersionMax="47" xr10:uidLastSave="{00000000-0000-0000-0000-000000000000}"/>
  <bookViews>
    <workbookView xWindow="-120" yWindow="-120" windowWidth="29040" windowHeight="15840" xr2:uid="{D7DC84AE-23DC-441E-A481-343D9D982E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7" i="1" l="1"/>
  <c r="K6" i="1"/>
  <c r="J9" i="1"/>
  <c r="J8" i="1"/>
  <c r="J6" i="1"/>
  <c r="K8" i="1"/>
  <c r="J7" i="1"/>
  <c r="K9" i="1"/>
</calcChain>
</file>

<file path=xl/sharedStrings.xml><?xml version="1.0" encoding="utf-8"?>
<sst xmlns="http://schemas.openxmlformats.org/spreadsheetml/2006/main" count="38" uniqueCount="34">
  <si>
    <t>Employee ID</t>
  </si>
  <si>
    <t>Employee Name</t>
  </si>
  <si>
    <t>Department</t>
  </si>
  <si>
    <t>Performance Score</t>
  </si>
  <si>
    <t>Potential Score</t>
  </si>
  <si>
    <t>E101</t>
  </si>
  <si>
    <t>Finance</t>
  </si>
  <si>
    <t>E102</t>
  </si>
  <si>
    <t>IT</t>
  </si>
  <si>
    <t>E103</t>
  </si>
  <si>
    <t>HR</t>
  </si>
  <si>
    <t>E104</t>
  </si>
  <si>
    <t>Operations</t>
  </si>
  <si>
    <t>E105</t>
  </si>
  <si>
    <t>Marketing</t>
  </si>
  <si>
    <t>E106</t>
  </si>
  <si>
    <t>E107</t>
  </si>
  <si>
    <t>E108</t>
  </si>
  <si>
    <t>E109</t>
  </si>
  <si>
    <t>Sales</t>
  </si>
  <si>
    <t>E110</t>
  </si>
  <si>
    <t>Emp1</t>
  </si>
  <si>
    <t>Emp2</t>
  </si>
  <si>
    <t>Emp3</t>
  </si>
  <si>
    <t>Emp4</t>
  </si>
  <si>
    <t>Emp5</t>
  </si>
  <si>
    <t>Emp6</t>
  </si>
  <si>
    <t>Emp7</t>
  </si>
  <si>
    <t>Emp8</t>
  </si>
  <si>
    <t>Emp9</t>
  </si>
  <si>
    <t>Emp10</t>
  </si>
  <si>
    <t>Support Table</t>
  </si>
  <si>
    <t>X Value</t>
  </si>
  <si>
    <t>Y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</si>
</sst>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2" fontId="0" fillId="0" borderId="0" xfId="0" applyNumberFormat="1"/>
    <xf numFmtId="2" fontId="0" fillId="0" borderId="0" xfId="0" applyNumberFormat="1" applyAlignment="1">
      <alignment vertical="center" wrapText="1"/>
    </xf>
    <xf numFmtId="2" fontId="0" fillId="0" borderId="0" xfId="0" applyNumberFormat="1" applyAlignment="1">
      <alignment horizontal="right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7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666699"/>
      <color rgb="FFF5F5F5"/>
      <color rgb="FFFDFD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Potential Score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8D964342-3894-4FA6-9FE1-535C2FD06F9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5ABA-4E68-AF60-C77AD0D326A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6A6E83CE-A452-4593-BC3E-D846A698630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5ABA-4E68-AF60-C77AD0D326A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E5F7A1D3-63B9-488E-877A-5AF4C4199B6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5ABA-4E68-AF60-C77AD0D326A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908722F9-73AA-40F7-A206-D00D576A7F5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5ABA-4E68-AF60-C77AD0D326A3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4F7688E4-8A5B-4908-A624-28831F1AF4B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5ABA-4E68-AF60-C77AD0D326A3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AB1E8734-5DD5-4361-A702-EDEE87FFDCF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5ABA-4E68-AF60-C77AD0D326A3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2D010CDB-E081-4632-A6A9-53AB6500119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5ABA-4E68-AF60-C77AD0D326A3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1E037EE9-46A9-4512-9EA3-8069E80F915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5ABA-4E68-AF60-C77AD0D326A3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A78EB2F6-B51F-48C4-B5E1-5103438870E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5ABA-4E68-AF60-C77AD0D326A3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C1A6AF06-9431-4B27-8ADC-83C3A13D1DC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5ABA-4E68-AF60-C77AD0D326A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Sheet1!$D$2:$D$11</c:f>
              <c:numCache>
                <c:formatCode>General</c:formatCode>
                <c:ptCount val="10"/>
                <c:pt idx="0">
                  <c:v>4.5</c:v>
                </c:pt>
                <c:pt idx="1">
                  <c:v>3.9</c:v>
                </c:pt>
                <c:pt idx="2">
                  <c:v>2.4</c:v>
                </c:pt>
                <c:pt idx="3">
                  <c:v>4.8</c:v>
                </c:pt>
                <c:pt idx="4">
                  <c:v>2.1</c:v>
                </c:pt>
                <c:pt idx="5">
                  <c:v>3.5</c:v>
                </c:pt>
                <c:pt idx="6">
                  <c:v>4.0999999999999996</c:v>
                </c:pt>
                <c:pt idx="7">
                  <c:v>2.1</c:v>
                </c:pt>
                <c:pt idx="8">
                  <c:v>3.8</c:v>
                </c:pt>
                <c:pt idx="9">
                  <c:v>4.5999999999999996</c:v>
                </c:pt>
              </c:numCache>
            </c:numRef>
          </c:xVal>
          <c:yVal>
            <c:numRef>
              <c:f>Sheet1!$E$2:$E$11</c:f>
              <c:numCache>
                <c:formatCode>General</c:formatCode>
                <c:ptCount val="10"/>
                <c:pt idx="0">
                  <c:v>4.8</c:v>
                </c:pt>
                <c:pt idx="1">
                  <c:v>2.1</c:v>
                </c:pt>
                <c:pt idx="2">
                  <c:v>4.3</c:v>
                </c:pt>
                <c:pt idx="3">
                  <c:v>4.5999999999999996</c:v>
                </c:pt>
                <c:pt idx="4">
                  <c:v>1.8</c:v>
                </c:pt>
                <c:pt idx="5">
                  <c:v>3</c:v>
                </c:pt>
                <c:pt idx="6">
                  <c:v>2.5</c:v>
                </c:pt>
                <c:pt idx="7">
                  <c:v>4.9000000000000004</c:v>
                </c:pt>
                <c:pt idx="8">
                  <c:v>3.8</c:v>
                </c:pt>
                <c:pt idx="9">
                  <c:v>1.5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Sheet1!$B$2:$B$11</c15:f>
                <c15:dlblRangeCache>
                  <c:ptCount val="10"/>
                  <c:pt idx="0">
                    <c:v>Emp1</c:v>
                  </c:pt>
                  <c:pt idx="1">
                    <c:v>Emp2</c:v>
                  </c:pt>
                  <c:pt idx="2">
                    <c:v>Emp3</c:v>
                  </c:pt>
                  <c:pt idx="3">
                    <c:v>Emp4</c:v>
                  </c:pt>
                  <c:pt idx="4">
                    <c:v>Emp5</c:v>
                  </c:pt>
                  <c:pt idx="5">
                    <c:v>Emp6</c:v>
                  </c:pt>
                  <c:pt idx="6">
                    <c:v>Emp7</c:v>
                  </c:pt>
                  <c:pt idx="7">
                    <c:v>Emp8</c:v>
                  </c:pt>
                  <c:pt idx="8">
                    <c:v>Emp9</c:v>
                  </c:pt>
                  <c:pt idx="9">
                    <c:v>Emp10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5ABA-4E68-AF60-C77AD0D326A3}"/>
            </c:ext>
          </c:extLst>
        </c:ser>
        <c:ser>
          <c:idx val="1"/>
          <c:order val="1"/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Sheet1!$J$6:$J$7</c:f>
              <c:numCache>
                <c:formatCode>0.00</c:formatCode>
                <c:ptCount val="2"/>
                <c:pt idx="0">
                  <c:v>2.1</c:v>
                </c:pt>
                <c:pt idx="1">
                  <c:v>4.8</c:v>
                </c:pt>
              </c:numCache>
            </c:numRef>
          </c:xVal>
          <c:yVal>
            <c:numRef>
              <c:f>Sheet1!$J$8:$J$9</c:f>
              <c:numCache>
                <c:formatCode>0.00</c:formatCode>
                <c:ptCount val="2"/>
                <c:pt idx="0">
                  <c:v>3.5800000000000005</c:v>
                </c:pt>
                <c:pt idx="1">
                  <c:v>3.5800000000000005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ABA-4E68-AF60-C77AD0D326A3}"/>
            </c:ext>
          </c:extLst>
        </c:ser>
        <c:ser>
          <c:idx val="2"/>
          <c:order val="2"/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Sheet1!$K$6:$K$7</c:f>
              <c:numCache>
                <c:formatCode>0.00</c:formatCode>
                <c:ptCount val="2"/>
                <c:pt idx="0">
                  <c:v>3.3299999999999996</c:v>
                </c:pt>
                <c:pt idx="1">
                  <c:v>3.3299999999999996</c:v>
                </c:pt>
              </c:numCache>
            </c:numRef>
          </c:xVal>
          <c:yVal>
            <c:numRef>
              <c:f>Sheet1!$K$8:$K$9</c:f>
              <c:numCache>
                <c:formatCode>0.00</c:formatCode>
                <c:ptCount val="2"/>
                <c:pt idx="0">
                  <c:v>1.5</c:v>
                </c:pt>
                <c:pt idx="1">
                  <c:v>4.9000000000000004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ABA-4E68-AF60-C77AD0D326A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222327183"/>
        <c:axId val="222324303"/>
      </c:scatterChart>
      <c:valAx>
        <c:axId val="222327183"/>
        <c:scaling>
          <c:orientation val="minMax"/>
          <c:min val="1.5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Performance 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222324303"/>
        <c:crosses val="autoZero"/>
        <c:crossBetween val="midCat"/>
      </c:valAx>
      <c:valAx>
        <c:axId val="222324303"/>
        <c:scaling>
          <c:orientation val="minMax"/>
          <c:min val="1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Potential 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2223271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85000"/>
      </a:schemeClr>
    </a:solidFill>
    <a:ln w="9525" cap="flat" cmpd="sng" algn="ctr">
      <a:gradFill>
        <a:gsLst>
          <a:gs pos="0">
            <a:schemeClr val="accent1">
              <a:lumMod val="5000"/>
              <a:lumOff val="95000"/>
            </a:schemeClr>
          </a:gs>
          <a:gs pos="74000">
            <a:schemeClr val="accent1">
              <a:lumMod val="45000"/>
              <a:lumOff val="55000"/>
            </a:schemeClr>
          </a:gs>
          <a:gs pos="83000">
            <a:schemeClr val="accent1">
              <a:lumMod val="45000"/>
              <a:lumOff val="55000"/>
            </a:schemeClr>
          </a:gs>
          <a:gs pos="100000">
            <a:schemeClr val="accent1">
              <a:lumMod val="30000"/>
              <a:lumOff val="70000"/>
            </a:schemeClr>
          </a:gs>
        </a:gsLst>
        <a:lin ang="5400000" scaled="1"/>
      </a:gra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</xdr:colOff>
      <xdr:row>12</xdr:row>
      <xdr:rowOff>38100</xdr:rowOff>
    </xdr:from>
    <xdr:to>
      <xdr:col>8</xdr:col>
      <xdr:colOff>523875</xdr:colOff>
      <xdr:row>34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0ED3333-AE68-F540-05FC-9BD9B6238A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933449</xdr:colOff>
      <xdr:row>12</xdr:row>
      <xdr:rowOff>66675</xdr:rowOff>
    </xdr:from>
    <xdr:to>
      <xdr:col>8</xdr:col>
      <xdr:colOff>314324</xdr:colOff>
      <xdr:row>14</xdr:row>
      <xdr:rowOff>171450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32881C32-8D94-AC6E-B22C-CFD81F59A941}"/>
            </a:ext>
          </a:extLst>
        </xdr:cNvPr>
        <xdr:cNvSpPr/>
      </xdr:nvSpPr>
      <xdr:spPr>
        <a:xfrm>
          <a:off x="6467474" y="2352675"/>
          <a:ext cx="2390775" cy="485775"/>
        </a:xfrm>
        <a:prstGeom prst="roundRect">
          <a:avLst/>
        </a:prstGeom>
        <a:solidFill>
          <a:srgbClr val="F5F5F5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High Performance, High Potential</a:t>
          </a:r>
          <a:br>
            <a:rPr 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Future Leaders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361949</xdr:colOff>
      <xdr:row>12</xdr:row>
      <xdr:rowOff>66675</xdr:rowOff>
    </xdr:from>
    <xdr:to>
      <xdr:col>4</xdr:col>
      <xdr:colOff>466724</xdr:colOff>
      <xdr:row>14</xdr:row>
      <xdr:rowOff>171450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44ED4DF9-3061-462F-B4E9-F9AE5F5B40AC}"/>
            </a:ext>
          </a:extLst>
        </xdr:cNvPr>
        <xdr:cNvSpPr/>
      </xdr:nvSpPr>
      <xdr:spPr>
        <a:xfrm>
          <a:off x="2505074" y="2352675"/>
          <a:ext cx="2390775" cy="485775"/>
        </a:xfrm>
        <a:prstGeom prst="roundRect">
          <a:avLst/>
        </a:prstGeom>
        <a:solidFill>
          <a:srgbClr val="F5F5F5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High Performance, High Potential</a:t>
          </a:r>
          <a:br>
            <a:rPr 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Needs Coaching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361949</xdr:colOff>
      <xdr:row>31</xdr:row>
      <xdr:rowOff>28575</xdr:rowOff>
    </xdr:from>
    <xdr:to>
      <xdr:col>4</xdr:col>
      <xdr:colOff>466724</xdr:colOff>
      <xdr:row>33</xdr:row>
      <xdr:rowOff>133350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594E1E44-51EF-4E4C-8B20-D3E3372B0E4A}"/>
            </a:ext>
          </a:extLst>
        </xdr:cNvPr>
        <xdr:cNvSpPr/>
      </xdr:nvSpPr>
      <xdr:spPr>
        <a:xfrm>
          <a:off x="2505074" y="5934075"/>
          <a:ext cx="2390775" cy="485775"/>
        </a:xfrm>
        <a:prstGeom prst="roundRect">
          <a:avLst/>
        </a:prstGeom>
        <a:solidFill>
          <a:srgbClr val="F5F5F5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Low Performance, Low Potential</a:t>
          </a:r>
          <a:br>
            <a:rPr 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Performance Concern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933449</xdr:colOff>
      <xdr:row>31</xdr:row>
      <xdr:rowOff>28575</xdr:rowOff>
    </xdr:from>
    <xdr:to>
      <xdr:col>8</xdr:col>
      <xdr:colOff>314324</xdr:colOff>
      <xdr:row>33</xdr:row>
      <xdr:rowOff>133350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23A3CB21-3C9D-4065-80A9-2390FAA73599}"/>
            </a:ext>
          </a:extLst>
        </xdr:cNvPr>
        <xdr:cNvSpPr/>
      </xdr:nvSpPr>
      <xdr:spPr>
        <a:xfrm>
          <a:off x="6467474" y="5934075"/>
          <a:ext cx="2390775" cy="485775"/>
        </a:xfrm>
        <a:prstGeom prst="roundRect">
          <a:avLst/>
        </a:prstGeom>
        <a:solidFill>
          <a:srgbClr val="F5F5F5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High Performance, Low Potential</a:t>
          </a:r>
          <a:br>
            <a:rPr 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Strong Specialists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2F6996-C507-4B41-A56D-FBFAA48AE540}" name="tblEmployees" displayName="tblEmployees" ref="A1:E11" totalsRowShown="0" headerRowDxfId="6" dataDxfId="5">
  <autoFilter ref="A1:E11" xr:uid="{082F6996-C507-4B41-A56D-FBFAA48AE540}"/>
  <tableColumns count="5">
    <tableColumn id="1" xr3:uid="{DDB4EA1D-E970-491F-BC10-7272DF080158}" name="Employee ID" dataDxfId="4"/>
    <tableColumn id="2" xr3:uid="{F98829B5-A870-4CB4-A7BB-97A0FFD5F1B2}" name="Employee Name" dataDxfId="3"/>
    <tableColumn id="3" xr3:uid="{73FCCDD3-3D9A-4D95-BBE7-7E0FC3976B5D}" name="Department" dataDxfId="2"/>
    <tableColumn id="4" xr3:uid="{D4B00980-E6C1-43E0-AB8E-44895753FB53}" name="Performance Score" dataDxfId="1"/>
    <tableColumn id="5" xr3:uid="{4347C746-26F4-49BB-96B2-34E6C244080E}" name="Potential Scor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EA79A-99A4-460F-AC09-72BD63D351A6}">
  <dimension ref="A1:M23"/>
  <sheetViews>
    <sheetView tabSelected="1" workbookViewId="0">
      <selection activeCell="J23" sqref="J23"/>
    </sheetView>
  </sheetViews>
  <sheetFormatPr defaultColWidth="14.42578125" defaultRowHeight="15" x14ac:dyDescent="0.25"/>
  <cols>
    <col min="2" max="2" width="17.7109375" customWidth="1"/>
    <col min="4" max="4" width="19.85546875" customWidth="1"/>
    <col min="5" max="5" width="16.5703125" customWidth="1"/>
    <col min="7" max="7" width="16.28515625" bestFit="1" customWidth="1"/>
    <col min="11" max="11" width="19.7109375" customWidth="1"/>
    <col min="12" max="12" width="30.7109375" bestFit="1" customWidth="1"/>
    <col min="13" max="13" width="34.71093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12" x14ac:dyDescent="0.25">
      <c r="A2" s="2" t="s">
        <v>5</v>
      </c>
      <c r="B2" s="2" t="s">
        <v>21</v>
      </c>
      <c r="C2" s="2" t="s">
        <v>6</v>
      </c>
      <c r="D2" s="2">
        <v>4.5</v>
      </c>
      <c r="E2" s="2">
        <v>4.8</v>
      </c>
    </row>
    <row r="3" spans="1:12" x14ac:dyDescent="0.25">
      <c r="A3" s="2" t="s">
        <v>7</v>
      </c>
      <c r="B3" s="2" t="s">
        <v>22</v>
      </c>
      <c r="C3" s="2" t="s">
        <v>8</v>
      </c>
      <c r="D3" s="2">
        <v>3.9</v>
      </c>
      <c r="E3" s="2">
        <v>2.1</v>
      </c>
      <c r="K3" s="1"/>
      <c r="L3" s="1"/>
    </row>
    <row r="4" spans="1:12" x14ac:dyDescent="0.25">
      <c r="A4" s="2" t="s">
        <v>9</v>
      </c>
      <c r="B4" s="2" t="s">
        <v>23</v>
      </c>
      <c r="C4" s="2" t="s">
        <v>10</v>
      </c>
      <c r="D4" s="2">
        <v>2.4</v>
      </c>
      <c r="E4" s="2">
        <v>4.3</v>
      </c>
      <c r="J4" t="s">
        <v>31</v>
      </c>
      <c r="K4" s="2"/>
      <c r="L4" s="2"/>
    </row>
    <row r="5" spans="1:12" x14ac:dyDescent="0.25">
      <c r="A5" s="2" t="s">
        <v>11</v>
      </c>
      <c r="B5" s="2" t="s">
        <v>24</v>
      </c>
      <c r="C5" s="2" t="s">
        <v>12</v>
      </c>
      <c r="D5" s="2">
        <v>4.8</v>
      </c>
      <c r="E5" s="2">
        <v>4.5999999999999996</v>
      </c>
      <c r="J5" t="s">
        <v>32</v>
      </c>
      <c r="K5" s="2" t="s">
        <v>33</v>
      </c>
      <c r="L5" s="2"/>
    </row>
    <row r="6" spans="1:12" x14ac:dyDescent="0.25">
      <c r="A6" s="2" t="s">
        <v>13</v>
      </c>
      <c r="B6" s="2" t="s">
        <v>25</v>
      </c>
      <c r="C6" s="2" t="s">
        <v>14</v>
      </c>
      <c r="D6" s="2">
        <v>2.1</v>
      </c>
      <c r="E6" s="2">
        <v>1.8</v>
      </c>
      <c r="J6" s="3">
        <f>MIN(tblEmployees[Performance Score])</f>
        <v>2.1</v>
      </c>
      <c r="K6" s="3">
        <f>AVERAGE(tblEmployees[Potential Score])</f>
        <v>3.3299999999999996</v>
      </c>
    </row>
    <row r="7" spans="1:12" x14ac:dyDescent="0.25">
      <c r="A7" s="2" t="s">
        <v>15</v>
      </c>
      <c r="B7" s="2" t="s">
        <v>26</v>
      </c>
      <c r="C7" s="2" t="s">
        <v>8</v>
      </c>
      <c r="D7" s="2">
        <v>3.5</v>
      </c>
      <c r="E7" s="2">
        <v>3</v>
      </c>
      <c r="J7" s="3">
        <f>MAX(tblEmployees[Performance Score])</f>
        <v>4.8</v>
      </c>
      <c r="K7" s="3">
        <f>AVERAGE(tblEmployees[Potential Score])</f>
        <v>3.3299999999999996</v>
      </c>
    </row>
    <row r="8" spans="1:12" x14ac:dyDescent="0.25">
      <c r="A8" s="2" t="s">
        <v>16</v>
      </c>
      <c r="B8" s="2" t="s">
        <v>27</v>
      </c>
      <c r="C8" s="2" t="s">
        <v>6</v>
      </c>
      <c r="D8" s="2">
        <v>4.0999999999999996</v>
      </c>
      <c r="E8" s="2">
        <v>2.5</v>
      </c>
      <c r="J8" s="3">
        <f>AVERAGE(tblEmployees[Performance Score])</f>
        <v>3.5800000000000005</v>
      </c>
      <c r="K8" s="5">
        <f>MIN(tblEmployees[Potential Score])</f>
        <v>1.5</v>
      </c>
      <c r="L8" s="1"/>
    </row>
    <row r="9" spans="1:12" x14ac:dyDescent="0.25">
      <c r="A9" s="2" t="s">
        <v>17</v>
      </c>
      <c r="B9" s="2" t="s">
        <v>28</v>
      </c>
      <c r="C9" s="2" t="s">
        <v>10</v>
      </c>
      <c r="D9" s="2">
        <v>2.1</v>
      </c>
      <c r="E9" s="2">
        <v>4.9000000000000004</v>
      </c>
      <c r="J9" s="3">
        <f>AVERAGE(tblEmployees[Performance Score])</f>
        <v>3.5800000000000005</v>
      </c>
      <c r="K9" s="4">
        <f>MAX(tblEmployees[Potential Score])</f>
        <v>4.9000000000000004</v>
      </c>
      <c r="L9" s="2"/>
    </row>
    <row r="10" spans="1:12" x14ac:dyDescent="0.25">
      <c r="A10" s="2" t="s">
        <v>18</v>
      </c>
      <c r="B10" s="2" t="s">
        <v>29</v>
      </c>
      <c r="C10" s="2" t="s">
        <v>19</v>
      </c>
      <c r="D10" s="2">
        <v>3.8</v>
      </c>
      <c r="E10" s="2">
        <v>3.8</v>
      </c>
    </row>
    <row r="11" spans="1:12" x14ac:dyDescent="0.25">
      <c r="A11" s="2" t="s">
        <v>20</v>
      </c>
      <c r="B11" s="2" t="s">
        <v>30</v>
      </c>
      <c r="C11" s="2" t="s">
        <v>12</v>
      </c>
      <c r="D11" s="2">
        <v>4.5999999999999996</v>
      </c>
      <c r="E11" s="2">
        <v>1.5</v>
      </c>
    </row>
    <row r="12" spans="1:12" x14ac:dyDescent="0.25">
      <c r="A12" s="2"/>
      <c r="B12" s="2"/>
      <c r="C12" s="2"/>
      <c r="D12" s="2"/>
      <c r="E12" s="2"/>
    </row>
    <row r="22" spans="12:13" x14ac:dyDescent="0.25">
      <c r="L22" s="6"/>
      <c r="M22" s="6"/>
    </row>
    <row r="23" spans="12:13" x14ac:dyDescent="0.25">
      <c r="L23" s="6"/>
      <c r="M23" s="6"/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Mujibulla Musathiek</dc:creator>
  <cp:lastModifiedBy>Mujibulla Musathiek</cp:lastModifiedBy>
  <dcterms:created xsi:type="dcterms:W3CDTF">2026-05-13T10:33:02Z</dcterms:created>
  <dcterms:modified xsi:type="dcterms:W3CDTF">2026-05-16T11:45:32Z</dcterms:modified>
</cp:coreProperties>
</file>